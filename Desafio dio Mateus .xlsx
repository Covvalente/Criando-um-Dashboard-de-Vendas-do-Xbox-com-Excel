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teu\Downloads\"/>
    </mc:Choice>
  </mc:AlternateContent>
  <xr:revisionPtr revIDLastSave="0" documentId="13_ncr:1_{28D6E1C7-190E-49C6-9F57-BD0C945DBC3A}" xr6:coauthVersionLast="47" xr6:coauthVersionMax="47" xr10:uidLastSave="{00000000-0000-0000-0000-000000000000}"/>
  <bookViews>
    <workbookView xWindow="-21720" yWindow="-30" windowWidth="21840" windowHeight="13020" tabRatio="0" firstSheet="3" activeTab="3" xr2:uid="{28DD5B76-0634-4F87-BE60-8BFA7EF2E23B}"/>
  </bookViews>
  <sheets>
    <sheet name="A̳ssets" sheetId="1" state="hidden" r:id="rId1"/>
    <sheet name="B̳ases" sheetId="2" state="hidden" r:id="rId2"/>
    <sheet name="Calculos" sheetId="11" state="hidden" r:id="rId3"/>
    <sheet name="D̳ashboard" sheetId="4" r:id="rId4"/>
  </sheets>
  <definedNames>
    <definedName name="SegmentaçãodeDados_Subscription_Type1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1" l="1"/>
  <c r="F27" i="11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<sst xmlns="http://schemas.openxmlformats.org/spreadsheetml/2006/main" count="2022" uniqueCount="325">
  <si>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</si>
  <si>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</si>
  <si>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</si>
  <si>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</si>
  <si>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</si>
  <si>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</si>
  <si>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</si>
  <si>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</si>
  <si>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</si>
  <si>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</si>
  <si>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</si>
  <si>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</si>
  <si>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</si>
  <si>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</si>
  <si>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</si>
  <si>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</si>
  <si>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</si>
  <si>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</si>
  <si>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</si>
  <si>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</si>
  <si>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</si>
  <si>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</si>
  <si>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</si>
  <si>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</si>
  <si>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</si>
  <si>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</si>
  <si>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</si>
  <si>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</si>
  <si>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</si>
  <si>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</si>
  <si>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</si>
  <si>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</si>
  <si>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</si>
  <si>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</si>
  <si>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</si>
  <si>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</si>
  <si>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</si>
  <si>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</si>
  <si>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</si>
  <si>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</si>
  <si>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</si>
  <si>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</si>
  <si>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</si>
  <si>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</si>
  <si>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</si>
  <si>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</si>
  <si>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</si>
  <si>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</si>
  <si>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</si>
  <si>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</si>
  <si>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</si>
  <si>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</si>
  <si>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</si>
  <si>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</si>
  <si>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</si>
  <si>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</si>
  <si>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</si>
  <si>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</si>
  <si>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</si>
  <si>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</si>
  <si>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</si>
  <si>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</si>
  <si>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</si>
  <si>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</si>
  <si>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</si>
  <si>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</si>
  <si>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</si>
  <si>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</si>
  <si>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</si>
  <si>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</si>
  <si>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</si>
  <si>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</si>
  <si>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</si>
  <si>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</si>
  <si>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</si>
  <si>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</si>
  <si>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</si>
  <si>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</si>
  <si>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</si>
  <si>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</si>
  <si>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</si>
  <si>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</si>
  <si>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</si>
  <si>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</si>
  <si>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</si>
  <si>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</si>
  <si>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</si>
  <si>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</si>
  <si>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</si>
  <si>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</si>
  <si>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</si>
  <si>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</si>
  <si>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</si>
  <si>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</si>
  <si>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</si>
  <si>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</si>
  <si>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</si>
  <si>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</si>
  <si>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</si>
  <si>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</si>
  <si>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</si>
  <si>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</si>
  <si>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</si>
  <si>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</si>
  <si>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</si>
  <si>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</si>
  <si>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</si>
  <si>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</si>
  <si>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</si>
  <si>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</si>
  <si>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</si>
  <si>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</si>
  <si>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</si>
  <si>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</si>
  <si>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</si>
  <si>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</si>
  <si>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</si>
  <si>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</si>
  <si>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</si>
  <si>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</si>
  <si>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</si>
  <si>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</si>
  <si>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</si>
  <si>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</si>
  <si>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</si>
  <si>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</si>
  <si>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</si>
  <si>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</si>
  <si>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</si>
  <si>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</si>
  <si>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</si>
  <si>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</si>
  <si>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</si>
  <si>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</si>
  <si>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</si>
  <si>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</si>
  <si>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</si>
  <si>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</si>
  <si>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</si>
  <si>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</si>
  <si>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</si>
  <si>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</si>
  <si>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</si>
  <si>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</si>
  <si>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</si>
  <si>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</si>
  <si>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</si>
  <si>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</si>
  <si>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</si>
  <si>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</si>
  <si>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</si>
  <si>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</si>
  <si>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</si>
  <si>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</si>
  <si>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</si>
  <si>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</si>
  <si>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</si>
  <si>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</si>
  <si>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</si>
  <si>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</si>
  <si>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</si>
  <si>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</si>
  <si>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</si>
  <si>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</si>
  <si>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</si>
  <si>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</si>
  <si>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</si>
  <si>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</si>
  <si>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</si>
  <si>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</si>
  <si>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</si>
  <si>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</si>
  <si>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</si>
  <si>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</si>
  <si>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</si>
  <si>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</si>
  <si>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</si>
  <si>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</si>
  <si>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</si>
  <si>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</si>
  <si>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</si>
  <si>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</si>
  <si>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</si>
  <si>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</si>
  <si>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</si>
  <si>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</si>
  <si>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</si>
  <si>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</si>
  <si>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</si>
  <si>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</si>
  <si>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</si>
  <si>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</si>
  <si>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</si>
  <si>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</si>
  <si>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</si>
  <si>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</si>
  <si>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</si>
  <si>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</si>
  <si>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</si>
  <si>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</si>
  <si>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</si>
  <si>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</si>
  <si>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</si>
  <si>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</si>
  <si>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</si>
  <si>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</si>
  <si>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</si>
  <si>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</si>
  <si>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</si>
  <si>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</si>
  <si>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</si>
  <si>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</si>
  <si>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</si>
  <si>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</si>
  <si>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</si>
  <si>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</si>
  <si>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</si>
  <si>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</si>
  <si>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</si>
  <si>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</si>
  <si>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</si>
  <si>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</si>
  <si>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</si>
  <si>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</si>
  <si>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</si>
  <si>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</si>
  <si>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</si>
  <si>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</si>
  <si>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</si>
  <si>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</si>
  <si>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</si>
  <si>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</si>
  <si>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</si>
  <si>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</si>
  <si>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</si>
  <si>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</si>
  <si>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</si>
  <si>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</si>
  <si>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</si>
  <si>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</si>
  <si>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</si>
  <si>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</si>
  <si>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</si>
  <si>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</si>
  <si>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</si>
  <si>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</si>
  <si>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</si>
  <si>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</si>
  <si>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</si>
  <si>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</si>
  <si>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</si>
  <si>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</si>
  <si>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</si>
  <si>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</si>
  <si>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</si>
  <si>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</si>
  <si>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</si>
  <si>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</si>
  <si>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</si>
  <si>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</si>
  <si>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</si>
  <si>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</si>
  <si>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</si>
  <si>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</si>
  <si>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</si>
  <si>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</si>
  <si>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</si>
  <si>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</si>
  <si>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</si>
  <si>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</si>
  <si>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</si>
  <si>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</si>
  <si>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</si>
  <si>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</si>
  <si>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</si>
  <si>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</si>
  <si>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</si>
  <si>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</si>
  <si>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</si>
  <si>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</si>
  <si>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</si>
  <si>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</si>
  <si>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</si>
  <si>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</si>
  <si>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</si>
  <si>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</si>
  <si>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</si>
  <si>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</si>
  <si>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</si>
  <si>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</si>
  <si>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</si>
  <si>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</si>
  <si>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</si>
  <si>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</si>
  <si>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</si>
  <si>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</si>
  <si>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</si>
  <si>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</si>
  <si>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</si>
  <si>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</si>
  <si>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</si>
  <si>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</si>
  <si>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</si>
  <si>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</si>
  <si>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</si>
  <si>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</si>
  <si>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</si>
  <si>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</si>
  <si>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</si>
  <si>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</si>
  <si>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</si>
  <si>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</si>
  <si>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</si>
  <si>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</si>
  <si>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</si>
  <si>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</si>
  <si>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</si>
  <si>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t>XBOX GAMEPASS SUBSCRIPTION SALES</t>
  </si>
  <si>
    <t>Soma de EA Play Season Pass</t>
  </si>
  <si>
    <t>Pergunta de negócio 3- Total de vendas asssinatura do EA Play</t>
  </si>
  <si>
    <t>Pergunta de negócio 4 -Total de vendas de assinaturas do Minecraft Seasson Pass</t>
  </si>
  <si>
    <r>
      <t xml:space="preserve">Pergunta de Negócio 1 - Qual faturamento </t>
    </r>
    <r>
      <rPr>
        <b/>
        <sz val="12"/>
        <color theme="1"/>
        <rFont val="Aptos Narrow"/>
        <family val="2"/>
        <scheme val="minor"/>
      </rPr>
      <t>Total de vendas</t>
    </r>
    <r>
      <rPr>
        <sz val="12"/>
        <color theme="1"/>
        <rFont val="Aptos Narrow"/>
        <family val="2"/>
        <scheme val="minor"/>
      </rPr>
      <t xml:space="preserve"> de </t>
    </r>
    <r>
      <rPr>
        <b/>
        <sz val="12"/>
        <color theme="1"/>
        <rFont val="Aptos Narrow"/>
        <family val="2"/>
        <scheme val="minor"/>
      </rPr>
      <t>planos anuais</t>
    </r>
    <r>
      <rPr>
        <sz val="12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</si>
  <si>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2"/>
        <color theme="1"/>
        <rFont val="Aptos Narrow"/>
        <family val="2"/>
        <scheme val="minor"/>
      </rPr>
      <t xml:space="preserve"> Total de vendas</t>
    </r>
    <r>
      <rPr>
        <sz val="12"/>
        <color theme="1"/>
        <rFont val="Aptos Narrow"/>
        <family val="2"/>
        <scheme val="minor"/>
      </rPr>
      <t xml:space="preserve"> de</t>
    </r>
    <r>
      <rPr>
        <b/>
        <sz val="12"/>
        <color theme="1"/>
        <rFont val="Aptos Narrow"/>
        <family val="2"/>
        <scheme val="minor"/>
      </rPr>
      <t xml:space="preserve"> planos anuais</t>
    </r>
    <r>
      <rPr>
        <sz val="12"/>
        <color theme="1"/>
        <rFont val="Aptos Narrow"/>
        <family val="2"/>
        <scheme val="minor"/>
      </rPr>
      <t xml:space="preserve"> , separado por auto renovação não é por auto renovação</t>
    </r>
  </si>
  <si>
    <t>Soma de Minecraft Season Pass Price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</si>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</sst>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b/>
      <i/>
      <sz val="20"/>
      <color rgb="FF22C55E"/>
      <name val="Yu Gothic UI Semibold"/>
      <family val="2"/>
    </font>
    <font>
      <b/>
      <sz val="20"/>
      <color rgb="FF22C55E"/>
      <name val="Yu Gothic UI Semibold"/>
      <family val="2"/>
    </font>
    <font>
      <b/>
      <i/>
      <sz val="20"/>
      <color rgb="FF22C55E"/>
      <name val="Elephant"/>
      <family val="1"/>
    </font>
    <font>
      <sz val="18"/>
      <color rgb="FF22C55E"/>
      <name val="Century Gothic"/>
      <family val="2"/>
    </font>
    <font>
      <b/>
      <i/>
      <sz val="24"/>
      <color rgb="FF22C55E"/>
      <name val="Century Gothic"/>
      <family val="2"/>
    </font>
    <font>
      <b/>
      <sz val="24"/>
      <color rgb="FF22C55E"/>
      <name val="Century Gothic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.5"/>
      <color rgb="FF7F7F7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22C55E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44" fontId="3" fillId="0" borderId="0" applyFont="0" applyFill="0" applyBorder="0" applyAlignment="0" applyProtection="0"/>
    <xf numFmtId="0" fontId="1" fillId="8" borderId="0" applyNumberFormat="0" applyBorder="0" applyAlignment="0" applyProtection="0"/>
  </cellStyleXfs>
  <cellXfs count="31">
    <xf numFmtId="0" fontId="0" fillId="0" borderId="0" xfId="0"/>
    <xf numFmtId="0" fontId="2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/>
    <xf numFmtId="0" fontId="2" fillId="0" borderId="2" xfId="1" applyBorder="1"/>
    <xf numFmtId="0" fontId="5" fillId="0" borderId="2" xfId="1" applyFont="1" applyBorder="1"/>
    <xf numFmtId="44" fontId="0" fillId="0" borderId="0" xfId="0" applyNumberFormat="1"/>
    <xf numFmtId="0" fontId="6" fillId="0" borderId="2" xfId="1" applyFont="1" applyBorder="1"/>
    <xf numFmtId="0" fontId="7" fillId="0" borderId="2" xfId="1" applyFont="1" applyBorder="1"/>
    <xf numFmtId="0" fontId="8" fillId="9" borderId="2" xfId="1" applyFont="1" applyFill="1" applyBorder="1"/>
    <xf numFmtId="164" fontId="0" fillId="0" borderId="0" xfId="0" applyNumberFormat="1"/>
    <xf numFmtId="0" fontId="12" fillId="0" borderId="0" xfId="0" applyFont="1"/>
    <xf numFmtId="0" fontId="11" fillId="9" borderId="2" xfId="1" applyFont="1" applyFill="1" applyBorder="1" applyAlignment="1">
      <alignment horizontal="left" indent="37"/>
    </xf>
    <xf numFmtId="0" fontId="9" fillId="9" borderId="2" xfId="1" applyFont="1" applyFill="1" applyBorder="1" applyAlignment="1">
      <alignment horizontal="left" indent="37"/>
    </xf>
    <xf numFmtId="0" fontId="10" fillId="9" borderId="2" xfId="1" applyFont="1" applyFill="1" applyBorder="1" applyAlignment="1">
      <alignment horizontal="left" indent="37"/>
    </xf>
    <xf numFmtId="0" fontId="14" fillId="7" borderId="0" xfId="0" applyFont="1" applyFill="1" applyAlignment="1">
      <alignment horizontal="left" vertical="center"/>
    </xf>
    <xf numFmtId="0" fontId="4" fillId="8" borderId="0" xfId="3" applyFont="1" applyAlignment="1">
      <alignment horizontal="center"/>
    </xf>
    <xf numFmtId="0" fontId="1" fillId="8" borderId="0" xfId="3" applyAlignment="1">
      <alignment horizontal="center"/>
    </xf>
    <xf numFmtId="0" fontId="0" fillId="0" borderId="0" xfId="0" applyNumberFormat="1"/>
  </cellXfs>
  <cellStyles count="4">
    <cellStyle name="20% - Ênfase1" xfId="3" builtinId="30"/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z val="10"/>
        <color rgb="FFE8E6E9"/>
      </font>
      <border>
        <bottom style="thin">
          <color theme="9"/>
        </bottom>
        <vertical/>
        <horizontal/>
      </border>
    </dxf>
    <dxf>
      <font>
        <b/>
        <i val="0"/>
        <strike val="0"/>
        <sz val="14"/>
        <color rgb="FF5BF6A8"/>
        <name val="Century Gothic"/>
        <family val="2"/>
        <scheme val="none"/>
      </font>
      <fill>
        <patternFill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1F013CE-F699-4F85-A5BF-4DB5A19E9658}">
      <tableStyleElement type="wholeTable" dxfId="15"/>
      <tableStyleElement type="headerRow" dxfId="14"/>
    </tableStyle>
  </tableStyles>
  <colors>
    <mruColors>
      <color rgb="FF5BF6A8"/>
      <color rgb="FFE8E6E9"/>
      <color rgb="FF22C55E"/>
      <color rgb="FF042433"/>
      <color rgb="FF9BC848"/>
      <color rgb="FF000000"/>
      <color rgb="FFE0E0E0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 Mateus .xlsx]Calculos!Tabela_Total Value</c:name>
    <c:fmtId val="1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 cap="sq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dLbl>
          <c:idx val="0"/>
          <c:layout>
            <c:manualLayout>
              <c:x val="5.1953721001780362E-2"/>
              <c:y val="-4.6111486714649555E-3"/>
            </c:manualLayout>
          </c:layout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495315081029396"/>
                  <c:h val="0.18354800830475154"/>
                </c:manualLayout>
              </c15:layout>
            </c:ext>
          </c:extLst>
        </c:dLbl>
      </c:pivotFmt>
      <c:pivotFmt>
        <c:idx val="4"/>
        <c:dLbl>
          <c:idx val="0"/>
          <c:layout>
            <c:manualLayout>
              <c:x val="7.7166548234344393E-2"/>
              <c:y val="2.0751221290337928E-2"/>
            </c:manualLayout>
          </c:layout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4372988492816294"/>
                  <c:h val="0.17495895189910554"/>
                </c:manualLayout>
              </c15:layout>
            </c:ext>
          </c:extLst>
        </c:dLbl>
      </c:pivotFmt>
      <c:pivotFmt>
        <c:idx val="5"/>
        <c:dLbl>
          <c:idx val="0"/>
          <c:layout>
            <c:manualLayout>
              <c:x val="0.16865054315881906"/>
              <c:y val="-2.9390734190312337E-3"/>
            </c:manualLayout>
          </c:layout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 cap="sq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8.5631956615875623E-2"/>
                  <c:h val="0.11230223021358084"/>
                </c:manualLayout>
              </c15:layout>
            </c:ext>
          </c:extLst>
        </c:dLbl>
      </c:pivotFmt>
      <c:pivotFmt>
        <c:idx val="6"/>
        <c:dLbl>
          <c:idx val="0"/>
          <c:layout>
            <c:manualLayout>
              <c:x val="9.0466416803177074E-2"/>
              <c:y val="1.6139655769645538E-2"/>
            </c:manualLayout>
          </c:layout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 cap="sq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8.9926500765288644E-2"/>
                  <c:h val="0.10307956977378339"/>
                </c:manualLayout>
              </c15:layout>
            </c:ext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  <a:sp3d/>
        </c:spPr>
        <c:dLbl>
          <c:idx val="0"/>
          <c:layout>
            <c:manualLayout>
              <c:x val="6.2502605261538724E-2"/>
              <c:y val="2.7555312226639185E-2"/>
            </c:manualLayout>
          </c:layout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378124325999735"/>
                  <c:h val="0.12847429273794572"/>
                </c:manualLayout>
              </c15:layout>
            </c:ext>
          </c:extLst>
        </c:dLbl>
      </c:pivotFmt>
      <c:pivotFmt>
        <c:idx val="8"/>
        <c:spPr>
          <a:solidFill>
            <a:srgbClr val="5BF6A8"/>
          </a:solidFill>
          <a:ln>
            <a:noFill/>
          </a:ln>
          <a:effectLst/>
          <a:sp3d/>
        </c:spPr>
        <c:dLbl>
          <c:idx val="0"/>
          <c:layout>
            <c:manualLayout>
              <c:x val="9.2318089095983213E-2"/>
              <c:y val="1.3776105901708914E-2"/>
            </c:manualLayout>
          </c:layout>
          <c:numFmt formatCode="_(&quot;R$&quot;* #,##0.00_);_(&quot;R$&quot;* \(#,##0.00\);_(&quot;R$&quot;* &quot;-&quot;??_);_(@_)" sourceLinked="0"/>
          <c:spPr>
            <a:solidFill>
              <a:srgbClr val="5BF6A8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  <a:scene3d>
              <a:camera prst="orthographicFront"/>
              <a:lightRig rig="threePt" dir="t"/>
            </a:scene3d>
            <a:sp3d prstMaterial="legacyWireframe"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0592165623260692"/>
                  <c:h val="0.11928918866239933"/>
                </c:manualLayout>
              </c15:layout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cene3d>
          <a:camera prst="orthographicFront"/>
          <a:lightRig rig="threePt" dir="t"/>
        </a:scene3d>
        <a:sp3d prstMaterial="matte">
          <a:bevelB w="114300" prst="artDeco"/>
        </a:sp3d>
      </c:spPr>
    </c:backWall>
    <c:plotArea>
      <c:layout>
        <c:manualLayout>
          <c:layoutTarget val="inner"/>
          <c:xMode val="edge"/>
          <c:yMode val="edge"/>
          <c:x val="8.8877152911757906E-2"/>
          <c:y val="0.16667169277288418"/>
          <c:w val="0.71138938580799049"/>
          <c:h val="0.80657626130067073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Calculos!$D$11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9.2318089095983213E-2"/>
                  <c:y val="1.3776105901708914E-2"/>
                </c:manualLayout>
              </c:layout>
              <c:numFmt formatCode="_(&quot;R$&quot;* #,##0.00_);_(&quot;R$&quot;* \(#,##0.00\);_(&quot;R$&quot;* &quot;-&quot;??_);_(@_)" sourceLinked="0"/>
              <c:spPr>
                <a:solidFill>
                  <a:srgbClr val="5BF6A8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  <a:scene3d>
                  <a:camera prst="orthographicFront"/>
                  <a:lightRig rig="threePt" dir="t"/>
                </a:scene3d>
                <a:sp3d prstMaterial="legacyWireframe"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592165623260692"/>
                      <c:h val="0.119289188662399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24B-4909-8899-B413AA942A21}"/>
                </c:ext>
              </c:extLst>
            </c:dLbl>
            <c:dLbl>
              <c:idx val="1"/>
              <c:layout>
                <c:manualLayout>
                  <c:x val="6.2502605261538724E-2"/>
                  <c:y val="2.7555312226639185E-2"/>
                </c:manualLayout>
              </c:layout>
              <c:numFmt formatCode="_(&quot;R$&quot;* #,##0.00_);_(&quot;R$&quot;* \(#,##0.00\);_(&quot;R$&quot;* &quot;-&quot;??_);_(@_)" sourceLinked="0"/>
              <c:spPr>
                <a:solidFill>
                  <a:srgbClr val="5BF6A8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  <a:scene3d>
                  <a:camera prst="orthographicFront"/>
                  <a:lightRig rig="threePt" dir="t"/>
                </a:scene3d>
                <a:sp3d prstMaterial="legacyWireframe"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378124325999735"/>
                      <c:h val="0.128474292737945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24B-4909-8899-B413AA942A21}"/>
                </c:ext>
              </c:extLst>
            </c:dLbl>
            <c:numFmt formatCode="_(&quot;R$&quot;* #,##0.00_);_(&quot;R$&quot;* \(#,##0.00\);_(&quot;R$&quot;* &quot;-&quot;??_);_(@_)" sourceLinked="0"/>
            <c:spPr>
              <a:solidFill>
                <a:srgbClr val="5BF6A8"/>
              </a:solidFill>
              <a:ln cap="sq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  <a:scene3d>
                <a:camera prst="orthographicFront"/>
                <a:lightRig rig="threePt" dir="t"/>
              </a:scene3d>
              <a:sp3d prstMaterial="legacyWireframe"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f>Calculos!$C$12:$C$15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Calculos!$D$12:$D$15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21-4985-A5AE-39B1E7FF8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0"/>
        <c:shape val="box"/>
        <c:axId val="448454479"/>
        <c:axId val="1424189151"/>
        <c:axId val="0"/>
      </c:bar3DChart>
      <c:catAx>
        <c:axId val="4484544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4189151"/>
        <c:crosses val="autoZero"/>
        <c:auto val="1"/>
        <c:lblAlgn val="ctr"/>
        <c:lblOffset val="100"/>
        <c:noMultiLvlLbl val="0"/>
      </c:catAx>
      <c:valAx>
        <c:axId val="14241891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4845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219074</xdr:colOff>
      <xdr:row>12</xdr:row>
      <xdr:rowOff>161162</xdr:rowOff>
    </xdr:from>
    <xdr:to>
      <xdr:col>3</xdr:col>
      <xdr:colOff>500471</xdr:colOff>
      <xdr:row>15</xdr:row>
      <xdr:rowOff>41910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71376B-F31F-2FA7-4526-1F72B4123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15742"/>
          <a:ext cx="1500597" cy="437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</xdr:colOff>
      <xdr:row>3</xdr:row>
      <xdr:rowOff>387804</xdr:rowOff>
    </xdr:from>
    <xdr:to>
      <xdr:col>1</xdr:col>
      <xdr:colOff>17688</xdr:colOff>
      <xdr:row>11</xdr:row>
      <xdr:rowOff>178254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Subscription Type 1">
              <a:extLst>
                <a:ext uri="{FF2B5EF4-FFF2-40B4-BE49-F238E27FC236}">
                  <a16:creationId xmlns:a16="http://schemas.microsoft.com/office/drawing/2014/main" id="{8309AEBE-8930-40D3-BAD0-DA317F0FE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07" y="1571625"/>
              <a:ext cx="1800224" cy="25118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468086</xdr:colOff>
      <xdr:row>13</xdr:row>
      <xdr:rowOff>141514</xdr:rowOff>
    </xdr:from>
    <xdr:to>
      <xdr:col>19</xdr:col>
      <xdr:colOff>381000</xdr:colOff>
      <xdr:row>21</xdr:row>
      <xdr:rowOff>207385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F7D5969E-5C77-0744-0831-EC836B588F0C}"/>
            </a:ext>
          </a:extLst>
        </xdr:cNvPr>
        <xdr:cNvSpPr/>
      </xdr:nvSpPr>
      <xdr:spPr>
        <a:xfrm>
          <a:off x="2558143" y="4757057"/>
          <a:ext cx="10112828" cy="2809071"/>
        </a:xfrm>
        <a:prstGeom prst="roundRect">
          <a:avLst>
            <a:gd name="adj" fmla="val 4630"/>
          </a:avLst>
        </a:prstGeom>
        <a:solidFill>
          <a:schemeClr val="bg1"/>
        </a:solidFill>
        <a:ln w="57150" cmpd="sng">
          <a:solidFill>
            <a:srgbClr val="9BC848"/>
          </a:solidFill>
          <a:prstDash val="solid"/>
          <a:extLst>
            <a:ext uri="{C807C97D-BFC1-408E-A445-0C87EB9F89A2}">
              <ask:lineSketchStyleProps xmlns:ask="http://schemas.microsoft.com/office/drawing/2018/sketchyshapes">
                <ask:type>
                  <ask:lineSketchNone/>
                </ask:type>
              </ask:lineSketchStyleProps>
            </a:ext>
          </a:extLst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424543</xdr:colOff>
      <xdr:row>13</xdr:row>
      <xdr:rowOff>326570</xdr:rowOff>
    </xdr:from>
    <xdr:to>
      <xdr:col>19</xdr:col>
      <xdr:colOff>108858</xdr:colOff>
      <xdr:row>21</xdr:row>
      <xdr:rowOff>359227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438AE80-7617-403B-896D-26605AB4D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428626</xdr:colOff>
      <xdr:row>4</xdr:row>
      <xdr:rowOff>0</xdr:rowOff>
    </xdr:from>
    <xdr:to>
      <xdr:col>10</xdr:col>
      <xdr:colOff>333376</xdr:colOff>
      <xdr:row>9</xdr:row>
      <xdr:rowOff>9525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BF5671CF-21B8-1C46-8BB0-30ECB4C1D0C0}"/>
            </a:ext>
          </a:extLst>
        </xdr:cNvPr>
        <xdr:cNvGrpSpPr/>
      </xdr:nvGrpSpPr>
      <xdr:grpSpPr>
        <a:xfrm>
          <a:off x="2469697" y="1673679"/>
          <a:ext cx="4585608" cy="1560739"/>
          <a:chOff x="2624137" y="2181225"/>
          <a:chExt cx="4781550" cy="1543050"/>
        </a:xfrm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C758C77B-1827-55E1-2777-7DDFD23A6C91}"/>
              </a:ext>
            </a:extLst>
          </xdr:cNvPr>
          <xdr:cNvSpPr/>
        </xdr:nvSpPr>
        <xdr:spPr>
          <a:xfrm>
            <a:off x="2624137" y="2181225"/>
            <a:ext cx="4781550" cy="1543050"/>
          </a:xfrm>
          <a:prstGeom prst="roundRect">
            <a:avLst>
              <a:gd name="adj" fmla="val 4939"/>
            </a:avLst>
          </a:prstGeom>
          <a:solidFill>
            <a:sysClr val="window" lastClr="FFFFFF"/>
          </a:solidFill>
          <a:ln w="57150">
            <a:solidFill>
              <a:srgbClr val="9BC848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F27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F43A3893-857B-4663-AD35-0E1D96EB7B10}"/>
              </a:ext>
            </a:extLst>
          </xdr:cNvPr>
          <xdr:cNvSpPr/>
        </xdr:nvSpPr>
        <xdr:spPr>
          <a:xfrm>
            <a:off x="4333875" y="2602230"/>
            <a:ext cx="3009900" cy="1009651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294C143-081C-416B-9C61-8ADC3AF391F1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en-US" sz="3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136E98FD-F223-49C8-9974-B3C7B894AD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86137" y="2552700"/>
            <a:ext cx="1219200" cy="1165860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447676</xdr:colOff>
      <xdr:row>4</xdr:row>
      <xdr:rowOff>9525</xdr:rowOff>
    </xdr:from>
    <xdr:to>
      <xdr:col>10</xdr:col>
      <xdr:colOff>352425</xdr:colOff>
      <xdr:row>5</xdr:row>
      <xdr:rowOff>304801</xdr:rowOff>
    </xdr:to>
    <xdr:sp macro="" textlink="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8522D2EA-A97C-EB63-18B0-780FA26479CD}"/>
            </a:ext>
          </a:extLst>
        </xdr:cNvPr>
        <xdr:cNvSpPr/>
      </xdr:nvSpPr>
      <xdr:spPr>
        <a:xfrm>
          <a:off x="2543176" y="1685925"/>
          <a:ext cx="4781549" cy="476251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/>
              </a:solidFill>
            </a:rPr>
            <a:t> </a:t>
          </a:r>
          <a:r>
            <a:rPr lang="pt-BR" sz="1600" b="1">
              <a:solidFill>
                <a:schemeClr val="bg1"/>
              </a:solidFill>
            </a:rPr>
            <a:t>TOTAL</a:t>
          </a:r>
          <a:r>
            <a:rPr lang="pt-BR" sz="1600" b="1" baseline="0">
              <a:solidFill>
                <a:schemeClr val="bg1"/>
              </a:solidFill>
            </a:rPr>
            <a:t> SUBSCRIPTION EA PLAY  SEASON PASS</a:t>
          </a:r>
          <a:endParaRPr lang="pt-BR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198666</xdr:colOff>
      <xdr:row>4</xdr:row>
      <xdr:rowOff>26397</xdr:rowOff>
    </xdr:from>
    <xdr:to>
      <xdr:col>19</xdr:col>
      <xdr:colOff>263980</xdr:colOff>
      <xdr:row>9</xdr:row>
      <xdr:rowOff>13608</xdr:rowOff>
    </xdr:to>
    <xdr:grpSp>
      <xdr:nvGrpSpPr>
        <xdr:cNvPr id="51" name="Agrupar 50">
          <a:extLst>
            <a:ext uri="{FF2B5EF4-FFF2-40B4-BE49-F238E27FC236}">
              <a16:creationId xmlns:a16="http://schemas.microsoft.com/office/drawing/2014/main" id="{E516B352-5DCD-D02E-A854-B4F600ED6A03}"/>
            </a:ext>
          </a:extLst>
        </xdr:cNvPr>
        <xdr:cNvGrpSpPr/>
      </xdr:nvGrpSpPr>
      <xdr:grpSpPr>
        <a:xfrm>
          <a:off x="7505702" y="1700076"/>
          <a:ext cx="4596492" cy="1538425"/>
          <a:chOff x="7881257" y="1653268"/>
          <a:chExt cx="4780189" cy="1567543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7FF9CA1E-F4E3-4BB1-3996-A766D92DF4F5}"/>
              </a:ext>
            </a:extLst>
          </xdr:cNvPr>
          <xdr:cNvSpPr/>
        </xdr:nvSpPr>
        <xdr:spPr>
          <a:xfrm>
            <a:off x="7881257" y="1653268"/>
            <a:ext cx="4780189" cy="1567543"/>
          </a:xfrm>
          <a:prstGeom prst="roundRect">
            <a:avLst>
              <a:gd name="adj" fmla="val 4939"/>
            </a:avLst>
          </a:prstGeom>
          <a:solidFill>
            <a:sysClr val="window" lastClr="FFFFFF"/>
          </a:solidFill>
          <a:ln w="57150">
            <a:solidFill>
              <a:srgbClr val="9BC848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1CAF0A32-0335-ADA4-9969-9AE0B5F5441B}"/>
              </a:ext>
            </a:extLst>
          </xdr:cNvPr>
          <xdr:cNvSpPr/>
        </xdr:nvSpPr>
        <xdr:spPr>
          <a:xfrm>
            <a:off x="7912924" y="1681183"/>
            <a:ext cx="4732565" cy="444152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>
                <a:solidFill>
                  <a:schemeClr val="bg1"/>
                </a:solidFill>
              </a:rPr>
              <a:t> </a:t>
            </a:r>
            <a:r>
              <a:rPr lang="pt-BR" sz="1600" b="1">
                <a:solidFill>
                  <a:schemeClr val="bg1"/>
                </a:solidFill>
              </a:rPr>
              <a:t>TOTAL</a:t>
            </a:r>
            <a:r>
              <a:rPr lang="pt-BR" sz="1600" b="1" baseline="0">
                <a:solidFill>
                  <a:schemeClr val="bg1"/>
                </a:solidFill>
              </a:rPr>
              <a:t> SUBSCRIPTION MINECRAFT SEASSON PASS</a:t>
            </a:r>
          </a:p>
          <a:p>
            <a:pPr algn="ctr"/>
            <a:endParaRPr lang="pt-BR" sz="1600" b="1">
              <a:solidFill>
                <a:schemeClr val="bg1"/>
              </a:solidFill>
            </a:endParaRPr>
          </a:p>
        </xdr:txBody>
      </xdr:sp>
      <xdr:sp macro="" textlink="Calculos!F38">
        <xdr:nvSpPr>
          <xdr:cNvPr id="45" name="Retângulo: Cantos Arredondados 44">
            <a:extLst>
              <a:ext uri="{FF2B5EF4-FFF2-40B4-BE49-F238E27FC236}">
                <a16:creationId xmlns:a16="http://schemas.microsoft.com/office/drawing/2014/main" id="{84D85C5A-ADA8-8A98-5DA3-E3883583FC44}"/>
              </a:ext>
            </a:extLst>
          </xdr:cNvPr>
          <xdr:cNvSpPr/>
        </xdr:nvSpPr>
        <xdr:spPr>
          <a:xfrm>
            <a:off x="9644743" y="2295560"/>
            <a:ext cx="2487455" cy="655780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A0CCE26-25C2-4D10-9C5E-E2ADEEF8C9D1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R$ 1.140,00</a:t>
            </a:fld>
            <a:endParaRPr lang="en-US" sz="7200" b="0">
              <a:solidFill>
                <a:srgbClr val="22C55E"/>
              </a:solidFill>
            </a:endParaRPr>
          </a:p>
        </xdr:txBody>
      </xdr:sp>
      <xdr:grpSp>
        <xdr:nvGrpSpPr>
          <xdr:cNvPr id="46" name="Agrupar 45">
            <a:extLst>
              <a:ext uri="{FF2B5EF4-FFF2-40B4-BE49-F238E27FC236}">
                <a16:creationId xmlns:a16="http://schemas.microsoft.com/office/drawing/2014/main" id="{0A6CC33F-FFA8-7C7D-8A70-E94F95736412}"/>
              </a:ext>
            </a:extLst>
          </xdr:cNvPr>
          <xdr:cNvGrpSpPr/>
        </xdr:nvGrpSpPr>
        <xdr:grpSpPr>
          <a:xfrm>
            <a:off x="8554986" y="2312667"/>
            <a:ext cx="1123627" cy="761550"/>
            <a:chOff x="3521937" y="5272845"/>
            <a:chExt cx="1549476" cy="927333"/>
          </a:xfrm>
        </xdr:grpSpPr>
        <xdr:pic>
          <xdr:nvPicPr>
            <xdr:cNvPr id="47" name="Imagem 46">
              <a:extLst>
                <a:ext uri="{FF2B5EF4-FFF2-40B4-BE49-F238E27FC236}">
                  <a16:creationId xmlns:a16="http://schemas.microsoft.com/office/drawing/2014/main" id="{F3AFD87B-0C0C-45E8-D9D6-5C197AF9372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27629" y="5272845"/>
              <a:ext cx="684652" cy="609598"/>
            </a:xfrm>
            <a:prstGeom prst="rect">
              <a:avLst/>
            </a:prstGeom>
          </xdr:spPr>
        </xdr:pic>
        <xdr:pic>
          <xdr:nvPicPr>
            <xdr:cNvPr id="48" name="Gráfico 47">
              <a:extLst>
                <a:ext uri="{FF2B5EF4-FFF2-40B4-BE49-F238E27FC236}">
                  <a16:creationId xmlns:a16="http://schemas.microsoft.com/office/drawing/2014/main" id="{01A8D50F-1B4E-49E3-4192-6051E5E49A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521937" y="5942966"/>
              <a:ext cx="1549476" cy="25721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500743</xdr:colOff>
      <xdr:row>13</xdr:row>
      <xdr:rowOff>174172</xdr:rowOff>
    </xdr:from>
    <xdr:to>
      <xdr:col>19</xdr:col>
      <xdr:colOff>370115</xdr:colOff>
      <xdr:row>14</xdr:row>
      <xdr:rowOff>153762</xdr:rowOff>
    </xdr:to>
    <xdr:sp macro="" textlink="">
      <xdr:nvSpPr>
        <xdr:cNvPr id="53" name="Retângulo: Cantos Superiores Arredondados 52">
          <a:extLst>
            <a:ext uri="{FF2B5EF4-FFF2-40B4-BE49-F238E27FC236}">
              <a16:creationId xmlns:a16="http://schemas.microsoft.com/office/drawing/2014/main" id="{031C38BD-4270-475E-83A2-AA27A2A9FDBA}"/>
            </a:ext>
          </a:extLst>
        </xdr:cNvPr>
        <xdr:cNvSpPr/>
      </xdr:nvSpPr>
      <xdr:spPr>
        <a:xfrm>
          <a:off x="2590800" y="4789715"/>
          <a:ext cx="10069286" cy="48033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solidFill>
                <a:schemeClr val="bg1"/>
              </a:solidFill>
            </a:rPr>
            <a:t>TOTAL SUBSCRIPTION XBOX GAME PASS</a:t>
          </a:r>
        </a:p>
      </xdr:txBody>
    </xdr:sp>
    <xdr:clientData/>
  </xdr:twoCellAnchor>
  <xdr:twoCellAnchor editAs="absolute">
    <xdr:from>
      <xdr:col>4</xdr:col>
      <xdr:colOff>413659</xdr:colOff>
      <xdr:row>1</xdr:row>
      <xdr:rowOff>32657</xdr:rowOff>
    </xdr:from>
    <xdr:to>
      <xdr:col>6</xdr:col>
      <xdr:colOff>23134</xdr:colOff>
      <xdr:row>3</xdr:row>
      <xdr:rowOff>16655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595328B3-10CE-4464-91AF-2E59716492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" t="968" r="71521" b="-968"/>
        <a:stretch>
          <a:fillRect/>
        </a:stretch>
      </xdr:blipFill>
      <xdr:spPr>
        <a:xfrm>
          <a:off x="3722916" y="217714"/>
          <a:ext cx="828675" cy="985484"/>
        </a:xfrm>
        <a:prstGeom prst="rect">
          <a:avLst/>
        </a:prstGeom>
      </xdr:spPr>
    </xdr:pic>
    <xdr:clientData/>
  </xdr:twoCellAnchor>
  <xdr:twoCellAnchor editAs="absolute">
    <xdr:from>
      <xdr:col>0</xdr:col>
      <xdr:colOff>54429</xdr:colOff>
      <xdr:row>12</xdr:row>
      <xdr:rowOff>70757</xdr:rowOff>
    </xdr:from>
    <xdr:to>
      <xdr:col>0</xdr:col>
      <xdr:colOff>1309008</xdr:colOff>
      <xdr:row>16</xdr:row>
      <xdr:rowOff>126417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08B99F26-1604-492C-8B3F-1307751C59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" t="968" r="71521" b="-968"/>
        <a:stretch>
          <a:fillRect/>
        </a:stretch>
      </xdr:blipFill>
      <xdr:spPr>
        <a:xfrm>
          <a:off x="54429" y="4465864"/>
          <a:ext cx="1254579" cy="1416374"/>
        </a:xfrm>
        <a:prstGeom prst="rect">
          <a:avLst/>
        </a:prstGeom>
      </xdr:spPr>
    </xdr:pic>
    <xdr:clientData/>
  </xdr:twoCellAnchor>
  <xdr:twoCellAnchor>
    <xdr:from>
      <xdr:col>0</xdr:col>
      <xdr:colOff>272143</xdr:colOff>
      <xdr:row>8</xdr:row>
      <xdr:rowOff>13607</xdr:rowOff>
    </xdr:from>
    <xdr:to>
      <xdr:col>0</xdr:col>
      <xdr:colOff>1424668</xdr:colOff>
      <xdr:row>11</xdr:row>
      <xdr:rowOff>212544</xdr:rowOff>
    </xdr:to>
    <xdr:sp macro="" textlink="">
      <xdr:nvSpPr>
        <xdr:cNvPr id="65" name="Elipse 64">
          <a:extLst>
            <a:ext uri="{FF2B5EF4-FFF2-40B4-BE49-F238E27FC236}">
              <a16:creationId xmlns:a16="http://schemas.microsoft.com/office/drawing/2014/main" id="{0AC14508-9170-42F4-97FA-506CF6D844FF}"/>
            </a:ext>
          </a:extLst>
        </xdr:cNvPr>
        <xdr:cNvSpPr/>
      </xdr:nvSpPr>
      <xdr:spPr>
        <a:xfrm>
          <a:off x="272143" y="3048000"/>
          <a:ext cx="1152525" cy="1069794"/>
        </a:xfrm>
        <a:prstGeom prst="ellipse">
          <a:avLst/>
        </a:prstGeom>
        <a:blipFill>
          <a:blip xmlns:r="http://schemas.openxmlformats.org/officeDocument/2006/relationships" r:embed="rId7">
            <a:alphaModFix/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saturation sat="399000"/>
                    </a14:imgEffect>
                  </a14:imgLayer>
                </a14:imgProps>
              </a:ext>
            </a:extLst>
          </a:blip>
          <a:stretch>
            <a:fillRect/>
          </a:stretch>
        </a:blipFill>
        <a:ln>
          <a:solidFill>
            <a:srgbClr val="9BC84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149679</xdr:colOff>
      <xdr:row>11</xdr:row>
      <xdr:rowOff>242205</xdr:rowOff>
    </xdr:from>
    <xdr:to>
      <xdr:col>0</xdr:col>
      <xdr:colOff>1632857</xdr:colOff>
      <xdr:row>13</xdr:row>
      <xdr:rowOff>312964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3F941ED2-CA9E-1C8C-E6E8-1A8E6C46C7FA}"/>
            </a:ext>
          </a:extLst>
        </xdr:cNvPr>
        <xdr:cNvSpPr/>
      </xdr:nvSpPr>
      <xdr:spPr>
        <a:xfrm>
          <a:off x="149679" y="4147455"/>
          <a:ext cx="1483178" cy="7511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/>
            <a:t>Seja</a:t>
          </a:r>
          <a:r>
            <a:rPr lang="pt-BR" sz="1600" b="1" baseline="0"/>
            <a:t> Bem Vindo</a:t>
          </a:r>
          <a:r>
            <a:rPr lang="pt-BR" sz="1600" b="1"/>
            <a:t> Mateus</a:t>
          </a:r>
        </a:p>
      </xdr:txBody>
    </xdr:sp>
    <xdr:clientData/>
  </xdr:twoCellAnchor>
  <xdr:twoCellAnchor editAs="oneCell">
    <xdr:from>
      <xdr:col>0</xdr:col>
      <xdr:colOff>0</xdr:colOff>
      <xdr:row>1</xdr:row>
      <xdr:rowOff>440873</xdr:rowOff>
    </xdr:from>
    <xdr:to>
      <xdr:col>1</xdr:col>
      <xdr:colOff>64857</xdr:colOff>
      <xdr:row>3</xdr:row>
      <xdr:rowOff>95251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628C4FD7-E248-4003-A380-A83D3BBEC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31373"/>
          <a:ext cx="1861000" cy="64769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16" refreshedDate="45819.781108912037" createdVersion="8" refreshedVersion="8" minRefreshableVersion="3" recordCount="295" xr:uid="{19614C97-DB7B-423A-AB24-B343478B5E7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902140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BA902-6635-4CA0-841F-DCEA46A61EF6}" name="Tabela_Total Value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C11:D15" firstHeaderRow="1" firstDataRow="1" firstDataCol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1"/>
          </reference>
        </references>
      </pivotArea>
    </chartFormat>
    <chartFormat chart="1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1"/>
          </reference>
        </references>
      </pivotArea>
    </chartFormat>
    <chartFormat chart="1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  <chartFormat chart="1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2"/>
          </reference>
        </references>
      </pivotArea>
    </chartFormat>
    <chartFormat chart="1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1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07DA1-3296-4EC6-9F45-29A3B25F8737}" name="Tabela_MInecraft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C34:D3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0B2E66-7AE3-4C2C-B788-6314204F2F24}" name="Tabela_EAPlay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C23:D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74596D8F-2B97-4C5F-9960-4519E821949D}" sourceName="Subscription Type">
  <pivotTables>
    <pivotTable tabId="11" name="Tabela_Total Value"/>
    <pivotTable tabId="11" name="Tabela_EAPlay"/>
    <pivotTable tabId="11" name="Tabela_MInecraft"/>
  </pivotTables>
  <data>
    <tabular pivotCacheId="169021403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5AC28CD-175C-4C85-B29F-410F81F0C1F0}" cache="SegmentaçãodeDados_Subscription_Type1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294"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F78F4-E57C-41E7-8DBD-07D99E81C1A0}">
  <dimension ref="B4:L38"/>
  <sheetViews>
    <sheetView showGridLines="0" topLeftCell="A19" workbookViewId="0">
      <selection activeCell="P11" sqref="P11"/>
    </sheetView>
  </sheetViews>
  <sheetFormatPr defaultRowHeight="15" x14ac:dyDescent="0.25"/>
  <cols>
    <col min="2" max="2" width="8.42578125" customWidth="1"/>
    <col min="3" max="3" width="18.42578125" bestFit="1" customWidth="1"/>
    <col min="4" max="4" width="35.140625" bestFit="1" customWidth="1"/>
    <col min="5" max="5" width="34.5703125" bestFit="1" customWidth="1"/>
    <col min="6" max="6" width="12.7109375" customWidth="1"/>
    <col min="7" max="7" width="27.28515625" customWidth="1"/>
  </cols>
  <sheetData>
    <row r="4" spans="2:12" x14ac:dyDescent="0.25">
      <c r="C4" s="28" t="s">
        <v>316</v>
      </c>
      <c r="D4" s="28"/>
      <c r="E4" s="28"/>
      <c r="F4" s="28"/>
      <c r="G4" s="28"/>
      <c r="H4" s="29"/>
      <c r="I4" s="29"/>
      <c r="J4" s="29"/>
      <c r="K4" s="29"/>
      <c r="L4" s="29"/>
    </row>
    <row r="7" spans="2:12" ht="15.75" x14ac:dyDescent="0.25">
      <c r="B7" s="23"/>
      <c r="C7" s="23" t="s">
        <v>321</v>
      </c>
      <c r="D7" s="23"/>
      <c r="E7" s="23"/>
      <c r="F7" s="23"/>
      <c r="G7" s="23"/>
    </row>
    <row r="8" spans="2:12" ht="15.75" x14ac:dyDescent="0.25">
      <c r="B8" s="23"/>
      <c r="C8" s="23" t="s">
        <v>322</v>
      </c>
      <c r="D8" s="23"/>
      <c r="E8" s="23"/>
      <c r="F8" s="23"/>
      <c r="G8" s="23"/>
    </row>
    <row r="11" spans="2:12" x14ac:dyDescent="0.25">
      <c r="C11" s="12" t="s">
        <v>313</v>
      </c>
      <c r="D11" t="s">
        <v>315</v>
      </c>
    </row>
    <row r="12" spans="2:12" x14ac:dyDescent="0.25">
      <c r="C12" s="13" t="s">
        <v>27</v>
      </c>
      <c r="D12" s="18">
        <v>2308</v>
      </c>
    </row>
    <row r="13" spans="2:12" x14ac:dyDescent="0.25">
      <c r="C13" s="14" t="s">
        <v>23</v>
      </c>
      <c r="D13" s="18">
        <v>806</v>
      </c>
    </row>
    <row r="14" spans="2:12" x14ac:dyDescent="0.25">
      <c r="C14" s="14" t="s">
        <v>19</v>
      </c>
      <c r="D14" s="18">
        <v>1502</v>
      </c>
    </row>
    <row r="15" spans="2:12" x14ac:dyDescent="0.25">
      <c r="C15" s="13" t="s">
        <v>314</v>
      </c>
      <c r="D15" s="18">
        <v>2308</v>
      </c>
    </row>
    <row r="19" spans="3:6" s="23" customFormat="1" ht="15.75" x14ac:dyDescent="0.25">
      <c r="C19" s="23" t="s">
        <v>319</v>
      </c>
    </row>
    <row r="20" spans="3:6" s="23" customFormat="1" ht="15.75" x14ac:dyDescent="0.25"/>
    <row r="21" spans="3:6" x14ac:dyDescent="0.25">
      <c r="C21" s="12" t="s">
        <v>16</v>
      </c>
      <c r="D21" t="s">
        <v>27</v>
      </c>
    </row>
    <row r="23" spans="3:6" x14ac:dyDescent="0.25">
      <c r="C23" s="12" t="s">
        <v>313</v>
      </c>
      <c r="D23" t="s">
        <v>318</v>
      </c>
    </row>
    <row r="24" spans="3:6" x14ac:dyDescent="0.25">
      <c r="C24" s="13" t="s">
        <v>22</v>
      </c>
      <c r="D24" s="30">
        <v>0</v>
      </c>
    </row>
    <row r="25" spans="3:6" x14ac:dyDescent="0.25">
      <c r="C25" s="13" t="s">
        <v>26</v>
      </c>
      <c r="D25" s="30">
        <v>0</v>
      </c>
    </row>
    <row r="26" spans="3:6" x14ac:dyDescent="0.25">
      <c r="C26" s="13" t="s">
        <v>18</v>
      </c>
      <c r="D26" s="30">
        <v>990</v>
      </c>
    </row>
    <row r="27" spans="3:6" x14ac:dyDescent="0.25">
      <c r="C27" s="13" t="s">
        <v>314</v>
      </c>
      <c r="D27" s="30">
        <v>990</v>
      </c>
      <c r="F27" s="22">
        <f>GETPIVOTDATA("EA Play Season Pass
Price",$C$23)</f>
        <v>990</v>
      </c>
    </row>
    <row r="30" spans="3:6" ht="15.75" x14ac:dyDescent="0.25">
      <c r="C30" s="23" t="s">
        <v>320</v>
      </c>
      <c r="D30" s="23"/>
      <c r="E30" s="23"/>
    </row>
    <row r="32" spans="3:6" x14ac:dyDescent="0.25">
      <c r="C32" s="12" t="s">
        <v>16</v>
      </c>
      <c r="D32" t="s">
        <v>27</v>
      </c>
    </row>
    <row r="34" spans="3:6" x14ac:dyDescent="0.25">
      <c r="C34" s="12" t="s">
        <v>313</v>
      </c>
      <c r="D34" t="s">
        <v>323</v>
      </c>
    </row>
    <row r="35" spans="3:6" x14ac:dyDescent="0.25">
      <c r="C35" s="13" t="s">
        <v>22</v>
      </c>
      <c r="D35" s="18">
        <v>0</v>
      </c>
    </row>
    <row r="36" spans="3:6" x14ac:dyDescent="0.25">
      <c r="C36" s="13" t="s">
        <v>26</v>
      </c>
      <c r="D36" s="18">
        <v>480</v>
      </c>
    </row>
    <row r="37" spans="3:6" x14ac:dyDescent="0.25">
      <c r="C37" s="13" t="s">
        <v>18</v>
      </c>
      <c r="D37" s="18">
        <v>660</v>
      </c>
    </row>
    <row r="38" spans="3:6" x14ac:dyDescent="0.25">
      <c r="C38" s="13" t="s">
        <v>314</v>
      </c>
      <c r="D38" s="18">
        <v>1140</v>
      </c>
      <c r="F38" s="22">
        <f>GETPIVOTDATA("Minecraft Season Pass Price",$C$34)</f>
        <v>1140</v>
      </c>
    </row>
  </sheetData>
  <mergeCells count="2">
    <mergeCell ref="C4:G4"/>
    <mergeCell ref="H4:L4"/>
  </mergeCell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W120"/>
  <sheetViews>
    <sheetView showGridLines="0" showRowColHeaders="0" tabSelected="1" zoomScale="70" zoomScaleNormal="70" workbookViewId="0">
      <selection activeCell="S10" sqref="S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27" style="4" customWidth="1"/>
    <col min="2" max="2" width="3.5703125" customWidth="1"/>
    <col min="3" max="11" width="8.85546875" customWidth="1"/>
    <col min="12" max="12" width="6.5703125" customWidth="1"/>
    <col min="13" max="21" width="8.85546875" customWidth="1"/>
    <col min="22" max="22" width="8.85546875" hidden="1" customWidth="1"/>
    <col min="23" max="23" width="12.28515625" hidden="1" customWidth="1"/>
    <col min="24" max="16384" width="8.85546875" hidden="1"/>
  </cols>
  <sheetData>
    <row r="2" spans="2:21" ht="60" customHeight="1" thickBot="1" x14ac:dyDescent="0.6">
      <c r="B2" s="15"/>
      <c r="C2" s="24" t="s">
        <v>317</v>
      </c>
      <c r="D2" s="24"/>
      <c r="E2" s="24"/>
      <c r="F2" s="24"/>
      <c r="G2" s="24"/>
      <c r="H2" s="24"/>
      <c r="I2" s="24"/>
      <c r="J2" s="24"/>
      <c r="K2" s="25"/>
      <c r="L2" s="26"/>
      <c r="M2" s="21"/>
      <c r="N2" s="19"/>
      <c r="O2" s="20"/>
      <c r="P2" s="17"/>
      <c r="Q2" s="17"/>
      <c r="R2" s="17"/>
      <c r="S2" s="16"/>
      <c r="T2" s="16"/>
      <c r="U2" s="16"/>
    </row>
    <row r="3" spans="2:21" ht="18.600000000000001" customHeight="1" thickTop="1" x14ac:dyDescent="0.25"/>
    <row r="4" spans="2:21" ht="39" customHeight="1" x14ac:dyDescent="0.25">
      <c r="B4" s="7"/>
      <c r="C4" s="7"/>
      <c r="D4" s="7"/>
      <c r="E4" s="27" t="s">
        <v>324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2:2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2:21" ht="39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2:2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2:21" ht="39" customHeight="1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2:21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2:21" ht="39" customHeight="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2:2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2:21" ht="39" customHeight="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2:21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2:21" ht="39" customHeight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2:2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2:21" ht="39" customHeight="1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2:2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2:21" ht="39" customHeight="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2:21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2:21" ht="39" customHeight="1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2:21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2:21" ht="39" customHeight="1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2:21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2:21" ht="39" customHeight="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2:21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2:21" ht="39" customHeight="1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2:21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2:21" ht="39" customHeight="1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2:21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2:21" ht="39" customHeight="1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2:21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2:21" ht="39" customHeight="1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2:21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spans="2:21" ht="39" customHeight="1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spans="2:21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spans="2:21" ht="39" customHeight="1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spans="2:21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spans="2:21" ht="39" customHeight="1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spans="2:21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2:21" ht="39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2:2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2:21" ht="39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spans="2:2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2:21" ht="39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spans="2:2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2:21" ht="39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2:2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spans="2:21" ht="39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spans="2:2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spans="2:21" ht="39" customHeight="1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2:21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2:21" ht="39" customHeight="1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2:21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2:21" ht="39" customHeight="1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2:21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2:21" ht="39" customHeight="1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2:21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2:21" ht="39" customHeight="1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2:21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2:21" ht="39" customHeight="1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2:21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2:21" ht="39" customHeight="1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2:21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2:21" ht="39" customHeight="1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2:21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ht="39" customHeight="1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2:21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2:21" ht="39" customHeight="1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2:21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2:21" ht="39" customHeight="1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spans="2:21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spans="2:21" ht="39" customHeight="1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spans="2:21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spans="2:21" ht="39" customHeight="1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spans="2:21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spans="2:21" ht="39" customHeight="1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spans="2:21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spans="2:21" ht="39" customHeight="1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spans="2:21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spans="2:21" ht="39" customHeight="1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spans="2:21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spans="2:21" ht="39" customHeight="1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spans="2:21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spans="2:21" ht="39" customHeight="1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spans="2:21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spans="2:21" ht="39" customHeight="1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spans="2:21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spans="2:21" ht="39" customHeight="1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spans="2:21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spans="2:21" ht="39" customHeight="1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spans="2:21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spans="2:21" ht="39" customHeight="1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2:21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2:21" ht="39" customHeight="1" x14ac:dyDescent="0.25"/>
    <row r="96" spans="2:21" ht="39" customHeight="1" x14ac:dyDescent="0.25"/>
    <row r="98" ht="39" customHeight="1" x14ac:dyDescent="0.25"/>
    <row r="100" ht="39" customHeight="1" x14ac:dyDescent="0.25"/>
    <row r="102" ht="39" customHeight="1" x14ac:dyDescent="0.25"/>
    <row r="104" ht="39" customHeight="1" x14ac:dyDescent="0.25"/>
    <row r="106" ht="39" customHeight="1" x14ac:dyDescent="0.25"/>
    <row r="108" ht="39" customHeight="1" x14ac:dyDescent="0.25"/>
    <row r="110" ht="39" customHeight="1" x14ac:dyDescent="0.25"/>
    <row r="112" ht="39" customHeight="1" x14ac:dyDescent="0.25"/>
    <row r="114" ht="39" customHeight="1" x14ac:dyDescent="0.25"/>
    <row r="116" ht="39" customHeight="1" x14ac:dyDescent="0.25"/>
    <row r="118" ht="39" customHeight="1" x14ac:dyDescent="0.25"/>
    <row r="120" ht="39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Calculos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MATEUS RODRIGUES DE OLIVEIRA</cp:lastModifiedBy>
  <cp:lastPrinted>2025-06-12T14:12:12Z</cp:lastPrinted>
  <dcterms:created xsi:type="dcterms:W3CDTF">2024-12-19T13:13:10Z</dcterms:created>
  <dcterms:modified xsi:type="dcterms:W3CDTF">2026-05-25T02:37:08Z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